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36505\Downloads\"/>
    </mc:Choice>
  </mc:AlternateContent>
  <xr:revisionPtr revIDLastSave="0" documentId="13_ncr:1_{6456CD4B-4108-42BB-9B43-724B1CE160AE}" xr6:coauthVersionLast="47" xr6:coauthVersionMax="47" xr10:uidLastSave="{00000000-0000-0000-0000-000000000000}"/>
  <bookViews>
    <workbookView xWindow="-108" yWindow="-108" windowWidth="23256" windowHeight="12456" xr2:uid="{13A15990-F4BF-4061-B9D0-59FE44A54E97}"/>
  </bookViews>
  <sheets>
    <sheet name="Planilha1" sheetId="1" r:id="rId1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Planilha1!$D$14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D30" i="1" s="1"/>
  <c r="C26" i="1"/>
  <c r="D26" i="1" s="1"/>
  <c r="D21" i="1"/>
  <c r="D22" i="1" s="1"/>
  <c r="D29" i="1"/>
  <c r="D28" i="1"/>
  <c r="D27" i="1"/>
  <c r="D15" i="1"/>
</calcChain>
</file>

<file path=xl/sharedStrings.xml><?xml version="1.0" encoding="utf-8"?>
<sst xmlns="http://schemas.openxmlformats.org/spreadsheetml/2006/main" count="19" uniqueCount="19">
  <si>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</si>
  <si>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</si>
  <si>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</si>
  <si>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</si>
  <si>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</si>
  <si>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</si>
  <si>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</si>
  <si>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</si>
  <si>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</si>
  <si>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</si>
  <si>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</si>
  <si>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</si>
  <si>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</si>
  <si>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</si>
  <si>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</si>
  <si>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</si>
  <si>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</si>
  <si>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PERÍODO</t>
  </si>
  <si>
    <t>PATRIMÔNIO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</si>
</sst>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 Semibold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20"/>
      <color theme="1"/>
      <name val="Segoe UI Semibold"/>
      <family val="2"/>
    </font>
    <font>
      <b/>
      <sz val="12"/>
      <color theme="1"/>
      <name val="Segoe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4" fillId="2" borderId="4" xfId="0" applyFont="1" applyFill="1" applyBorder="1" applyAlignment="1">
      <alignment horizontal="left" indent="3"/>
    </xf>
    <xf numFmtId="0" fontId="4" fillId="2" borderId="5" xfId="0" applyFont="1" applyFill="1" applyBorder="1" applyAlignment="1">
      <alignment horizontal="left" indent="3"/>
    </xf>
    <xf numFmtId="164" fontId="5" fillId="0" borderId="6" xfId="1" applyNumberFormat="1" applyFont="1" applyBorder="1" applyAlignment="1">
      <alignment horizontal="center"/>
    </xf>
    <xf numFmtId="0" fontId="4" fillId="2" borderId="7" xfId="0" applyFont="1" applyFill="1" applyBorder="1" applyAlignment="1">
      <alignment horizontal="left" indent="3"/>
    </xf>
    <xf numFmtId="0" fontId="4" fillId="2" borderId="8" xfId="0" applyFont="1" applyFill="1" applyBorder="1" applyAlignment="1">
      <alignment horizontal="left" indent="3"/>
    </xf>
    <xf numFmtId="10" fontId="5" fillId="0" borderId="9" xfId="0" applyNumberFormat="1" applyFont="1" applyBorder="1" applyAlignment="1">
      <alignment horizontal="center"/>
    </xf>
    <xf numFmtId="0" fontId="4" fillId="2" borderId="10" xfId="0" applyFont="1" applyFill="1" applyBorder="1" applyAlignment="1">
      <alignment horizontal="left" indent="3"/>
    </xf>
    <xf numFmtId="0" fontId="4" fillId="2" borderId="11" xfId="0" applyFont="1" applyFill="1" applyBorder="1" applyAlignment="1">
      <alignment horizontal="left" indent="3"/>
    </xf>
    <xf numFmtId="164" fontId="5" fillId="2" borderId="12" xfId="0" applyNumberFormat="1" applyFont="1" applyFill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0" fontId="7" fillId="0" borderId="9" xfId="0" applyNumberFormat="1" applyFont="1" applyBorder="1" applyAlignment="1">
      <alignment horizontal="center"/>
    </xf>
    <xf numFmtId="0" fontId="8" fillId="3" borderId="7" xfId="0" applyFont="1" applyFill="1" applyBorder="1" applyAlignment="1">
      <alignment horizontal="left" indent="3"/>
    </xf>
    <xf numFmtId="0" fontId="8" fillId="3" borderId="8" xfId="0" applyFont="1" applyFill="1" applyBorder="1" applyAlignment="1">
      <alignment horizontal="left" indent="3"/>
    </xf>
    <xf numFmtId="8" fontId="7" fillId="3" borderId="9" xfId="0" applyNumberFormat="1" applyFont="1" applyFill="1" applyBorder="1" applyAlignment="1">
      <alignment horizontal="center"/>
    </xf>
    <xf numFmtId="0" fontId="8" fillId="3" borderId="10" xfId="0" applyFont="1" applyFill="1" applyBorder="1" applyAlignment="1">
      <alignment horizontal="left" indent="3"/>
    </xf>
    <xf numFmtId="0" fontId="8" fillId="3" borderId="11" xfId="0" applyFont="1" applyFill="1" applyBorder="1" applyAlignment="1">
      <alignment horizontal="left" indent="3"/>
    </xf>
    <xf numFmtId="8" fontId="7" fillId="3" borderId="12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" fillId="0" borderId="0" xfId="0" applyFont="1"/>
    <xf numFmtId="0" fontId="4" fillId="6" borderId="13" xfId="0" applyFont="1" applyFill="1" applyBorder="1" applyAlignment="1">
      <alignment horizontal="left" indent="3"/>
    </xf>
    <xf numFmtId="164" fontId="5" fillId="6" borderId="14" xfId="0" applyNumberFormat="1" applyFont="1" applyFill="1" applyBorder="1" applyAlignment="1">
      <alignment horizontal="center"/>
    </xf>
    <xf numFmtId="164" fontId="5" fillId="6" borderId="15" xfId="0" applyNumberFormat="1" applyFont="1" applyFill="1" applyBorder="1" applyAlignment="1">
      <alignment horizontal="center"/>
    </xf>
    <xf numFmtId="0" fontId="4" fillId="6" borderId="16" xfId="0" applyFont="1" applyFill="1" applyBorder="1" applyAlignment="1">
      <alignment horizontal="left" indent="3"/>
    </xf>
    <xf numFmtId="164" fontId="5" fillId="6" borderId="17" xfId="0" applyNumberFormat="1" applyFont="1" applyFill="1" applyBorder="1" applyAlignment="1">
      <alignment horizontal="center"/>
    </xf>
    <xf numFmtId="0" fontId="4" fillId="6" borderId="18" xfId="0" applyFont="1" applyFill="1" applyBorder="1" applyAlignment="1">
      <alignment horizontal="left" indent="3"/>
    </xf>
    <xf numFmtId="164" fontId="5" fillId="6" borderId="23" xfId="0" applyNumberFormat="1" applyFont="1" applyFill="1" applyBorder="1" applyAlignment="1">
      <alignment horizontal="center"/>
    </xf>
    <xf numFmtId="164" fontId="5" fillId="6" borderId="19" xfId="0" applyNumberFormat="1" applyFont="1" applyFill="1" applyBorder="1" applyAlignment="1">
      <alignment horizontal="center"/>
    </xf>
    <xf numFmtId="0" fontId="8" fillId="6" borderId="20" xfId="0" applyFont="1" applyFill="1" applyBorder="1" applyAlignment="1">
      <alignment horizontal="left" indent="3"/>
    </xf>
    <xf numFmtId="0" fontId="8" fillId="6" borderId="0" xfId="0" applyFont="1" applyFill="1" applyBorder="1" applyAlignment="1">
      <alignment horizontal="left" indent="3"/>
    </xf>
    <xf numFmtId="8" fontId="7" fillId="6" borderId="21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4" xfId="0" applyBorder="1"/>
    <xf numFmtId="0" fontId="10" fillId="7" borderId="22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6</xdr:col>
      <xdr:colOff>582706</xdr:colOff>
      <xdr:row>10</xdr:row>
      <xdr:rowOff>7059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9F2F739-DCB6-7AEC-1D7E-CA540BC76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736540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EA55-629A-4AD2-AA40-2679CF3A447E}">
  <dimension ref="A10:D30"/>
  <sheetViews>
    <sheetView showGridLines="0" tabSelected="1" zoomScale="85" zoomScaleNormal="85" workbookViewId="0">
      <selection activeCell="G19" sqref="G19"/>
    </sheetView>
  </sheetViews>
  <sheetFormatPr defaultColWidth="0" defaultRowHeight="14.4" x14ac:dyDescent="0.3"/>
  <cols>
    <col min="1" max="1" width="8.88671875" customWidth="1"/>
    <col min="2" max="2" width="38.21875" customWidth="1"/>
    <col min="3" max="3" width="16.109375" bestFit="1" customWidth="1"/>
    <col min="4" max="4" width="23.33203125" customWidth="1"/>
    <col min="5" max="7" width="8.88671875" customWidth="1"/>
    <col min="8" max="16384" width="8.88671875" hidden="1"/>
  </cols>
  <sheetData>
    <row r="10" spans="2:4" ht="14.4" customHeight="1" x14ac:dyDescent="0.3"/>
    <row r="11" spans="2:4" ht="14.4" customHeight="1" thickBot="1" x14ac:dyDescent="0.35"/>
    <row r="12" spans="2:4" ht="27" x14ac:dyDescent="0.3">
      <c r="B12" s="19" t="s">
        <v>0</v>
      </c>
      <c r="C12" s="20"/>
      <c r="D12" s="21"/>
    </row>
    <row r="13" spans="2:4" ht="19.2" x14ac:dyDescent="0.45">
      <c r="B13" s="1" t="s">
        <v>1</v>
      </c>
      <c r="C13" s="2"/>
      <c r="D13" s="3">
        <v>5000</v>
      </c>
    </row>
    <row r="14" spans="2:4" ht="19.2" x14ac:dyDescent="0.45">
      <c r="B14" s="4" t="s">
        <v>2</v>
      </c>
      <c r="C14" s="5"/>
      <c r="D14" s="6">
        <v>0.01</v>
      </c>
    </row>
    <row r="15" spans="2:4" ht="19.8" thickBot="1" x14ac:dyDescent="0.5">
      <c r="B15" s="7" t="s">
        <v>3</v>
      </c>
      <c r="C15" s="8"/>
      <c r="D15" s="9">
        <f>D13*20%</f>
        <v>1000</v>
      </c>
    </row>
    <row r="16" spans="2:4" ht="15" thickBot="1" x14ac:dyDescent="0.35">
      <c r="B16" s="37"/>
      <c r="C16" s="38"/>
      <c r="D16" s="39"/>
    </row>
    <row r="17" spans="1:4" ht="29.4" x14ac:dyDescent="0.3">
      <c r="B17" s="22" t="s">
        <v>4</v>
      </c>
      <c r="C17" s="23"/>
      <c r="D17" s="24"/>
    </row>
    <row r="18" spans="1:4" ht="19.2" x14ac:dyDescent="0.45">
      <c r="B18" s="1" t="s">
        <v>5</v>
      </c>
      <c r="C18" s="2"/>
      <c r="D18" s="10">
        <v>600</v>
      </c>
    </row>
    <row r="19" spans="1:4" ht="19.2" x14ac:dyDescent="0.45">
      <c r="B19" s="4" t="s">
        <v>6</v>
      </c>
      <c r="C19" s="5"/>
      <c r="D19" s="11">
        <v>5</v>
      </c>
    </row>
    <row r="20" spans="1:4" ht="19.2" x14ac:dyDescent="0.45">
      <c r="B20" s="4" t="s">
        <v>7</v>
      </c>
      <c r="C20" s="5"/>
      <c r="D20" s="12">
        <v>1.0789999999999999E-2</v>
      </c>
    </row>
    <row r="21" spans="1:4" ht="19.2" x14ac:dyDescent="0.45">
      <c r="B21" s="13" t="s">
        <v>8</v>
      </c>
      <c r="C21" s="14"/>
      <c r="D21" s="15">
        <f>FV(taxa_mensal,qtd_anos*12,aporte*-1)</f>
        <v>50266.148399092584</v>
      </c>
    </row>
    <row r="22" spans="1:4" ht="19.8" thickBot="1" x14ac:dyDescent="0.5">
      <c r="B22" s="16" t="s">
        <v>9</v>
      </c>
      <c r="C22" s="17"/>
      <c r="D22" s="18">
        <f>patrimonio*rendimento_carteira</f>
        <v>502.66148399092583</v>
      </c>
    </row>
    <row r="23" spans="1:4" ht="19.8" thickBot="1" x14ac:dyDescent="0.5">
      <c r="B23" s="34"/>
      <c r="C23" s="35"/>
      <c r="D23" s="36"/>
    </row>
    <row r="24" spans="1:4" ht="30" thickBot="1" x14ac:dyDescent="0.35">
      <c r="B24" s="42" t="s">
        <v>10</v>
      </c>
      <c r="C24" s="43"/>
      <c r="D24" s="44"/>
    </row>
    <row r="25" spans="1:4" ht="19.8" thickBot="1" x14ac:dyDescent="0.35">
      <c r="B25" s="40" t="s">
        <v>17</v>
      </c>
      <c r="C25" s="41" t="s">
        <v>18</v>
      </c>
      <c r="D25" s="41" t="s">
        <v>11</v>
      </c>
    </row>
    <row r="26" spans="1:4" ht="19.2" x14ac:dyDescent="0.45">
      <c r="A26" s="25">
        <v>2</v>
      </c>
      <c r="B26" s="26" t="s">
        <v>12</v>
      </c>
      <c r="C26" s="27">
        <f>FV($D$20,$A26*12,$D$18*-1)</f>
        <v>16336.57637858713</v>
      </c>
      <c r="D26" s="28">
        <f>C26*rendimento_carteira</f>
        <v>163.36576378587131</v>
      </c>
    </row>
    <row r="27" spans="1:4" ht="19.2" x14ac:dyDescent="0.45">
      <c r="A27" s="25">
        <v>5</v>
      </c>
      <c r="B27" s="29" t="s">
        <v>13</v>
      </c>
      <c r="C27" s="27">
        <f t="shared" ref="C27:C30" si="0">FV($D$20,$A27*12,$D$18*-1)</f>
        <v>50266.148399092584</v>
      </c>
      <c r="D27" s="30">
        <f>C27*rendimento_carteira</f>
        <v>502.66148399092583</v>
      </c>
    </row>
    <row r="28" spans="1:4" ht="19.2" x14ac:dyDescent="0.45">
      <c r="A28" s="25">
        <v>10</v>
      </c>
      <c r="B28" s="29" t="s">
        <v>14</v>
      </c>
      <c r="C28" s="27">
        <f t="shared" si="0"/>
        <v>145970.52751810331</v>
      </c>
      <c r="D28" s="30">
        <f>C28*rendimento_carteira</f>
        <v>1459.7052751810331</v>
      </c>
    </row>
    <row r="29" spans="1:4" ht="19.2" x14ac:dyDescent="0.45">
      <c r="A29" s="25">
        <v>20</v>
      </c>
      <c r="B29" s="29" t="s">
        <v>15</v>
      </c>
      <c r="C29" s="27">
        <f t="shared" si="0"/>
        <v>675119.04005824833</v>
      </c>
      <c r="D29" s="30">
        <f>C29*rendimento_carteira</f>
        <v>6751.1904005824836</v>
      </c>
    </row>
    <row r="30" spans="1:4" ht="19.8" thickBot="1" x14ac:dyDescent="0.5">
      <c r="A30" s="25">
        <v>30</v>
      </c>
      <c r="B30" s="31" t="s">
        <v>16</v>
      </c>
      <c r="C30" s="32">
        <f t="shared" si="0"/>
        <v>2593301.7930028285</v>
      </c>
      <c r="D30" s="33">
        <f>C30*rendimento_carteira</f>
        <v>25933.017930028287</v>
      </c>
    </row>
  </sheetData>
  <mergeCells count="11">
    <mergeCell ref="B12:D12"/>
    <mergeCell ref="B24:D24"/>
    <mergeCell ref="B17:D17"/>
    <mergeCell ref="B13:C13"/>
    <mergeCell ref="B14:C14"/>
    <mergeCell ref="B15:C15"/>
    <mergeCell ref="B21:C21"/>
    <mergeCell ref="B22:C22"/>
    <mergeCell ref="B18:C18"/>
    <mergeCell ref="B19:C19"/>
    <mergeCell ref="B20:C2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5</vt:i4>
      </vt:variant>
    </vt:vector>
  </HeadingPairs>
  <TitlesOfParts>
    <vt:vector size="6" baseType="lpstr">
      <vt:lpstr>Planilha1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Willy Sousa Gomes</dc:creator>
  <cp:lastModifiedBy>Pablo Willy Sousa Gomes</cp:lastModifiedBy>
  <dcterms:created xsi:type="dcterms:W3CDTF">2026-08-28T20:01:28Z</dcterms:created>
  <dcterms:modified xsi:type="dcterms:W3CDTF">2026-08-28T20:30:55Z</dcterms:modified>
</cp:coreProperties>
</file>